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jesny\OneDrive\Desktop\"/>
    </mc:Choice>
  </mc:AlternateContent>
  <xr:revisionPtr revIDLastSave="0" documentId="13_ncr:1_{3829220E-8778-4688-8554-12513FED1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cing" sheetId="1" r:id="rId1"/>
    <sheet name="Combined_Diameter_LUT" sheetId="2" r:id="rId2"/>
    <sheet name="Raw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eqEs4ZkSaCyD/+NmmrNy+eyF/MO90iQXL/wwDaXv4M="/>
    </ext>
  </extLst>
</workbook>
</file>

<file path=xl/calcChain.xml><?xml version="1.0" encoding="utf-8"?>
<calcChain xmlns="http://schemas.openxmlformats.org/spreadsheetml/2006/main">
  <c r="C2" i="1" l="1" a="1"/>
  <c r="C2" i="1" s="1"/>
  <c r="B38" i="3"/>
  <c r="B36" i="3"/>
  <c r="B32" i="3"/>
  <c r="B31" i="3"/>
  <c r="B30" i="3"/>
  <c r="B28" i="3"/>
  <c r="B27" i="3"/>
  <c r="B26" i="3"/>
  <c r="E24" i="3"/>
  <c r="D23" i="3"/>
  <c r="C22" i="3"/>
  <c r="B21" i="3"/>
  <c r="L19" i="3"/>
  <c r="K18" i="3"/>
  <c r="J17" i="3"/>
  <c r="I16" i="3"/>
  <c r="H15" i="3"/>
  <c r="G14" i="3"/>
  <c r="L12" i="3"/>
  <c r="L24" i="3" s="1"/>
  <c r="K12" i="3"/>
  <c r="K12" i="2" s="1"/>
  <c r="J12" i="3"/>
  <c r="J24" i="3" s="1"/>
  <c r="I12" i="3"/>
  <c r="I24" i="3" s="1"/>
  <c r="H12" i="3"/>
  <c r="H24" i="3" s="1"/>
  <c r="G12" i="3"/>
  <c r="G24" i="3" s="1"/>
  <c r="F12" i="3"/>
  <c r="F12" i="2" s="1"/>
  <c r="E12" i="3"/>
  <c r="D12" i="3"/>
  <c r="D24" i="3" s="1"/>
  <c r="C12" i="3"/>
  <c r="C24" i="3" s="1"/>
  <c r="B12" i="3"/>
  <c r="B24" i="3" s="1"/>
  <c r="L11" i="3"/>
  <c r="L23" i="3" s="1"/>
  <c r="K11" i="3"/>
  <c r="K23" i="3" s="1"/>
  <c r="J11" i="3"/>
  <c r="J23" i="3" s="1"/>
  <c r="I11" i="3"/>
  <c r="I23" i="3" s="1"/>
  <c r="H11" i="3"/>
  <c r="H23" i="3" s="1"/>
  <c r="G11" i="3"/>
  <c r="G23" i="3" s="1"/>
  <c r="F11" i="3"/>
  <c r="F23" i="3" s="1"/>
  <c r="E11" i="3"/>
  <c r="E11" i="2" s="1"/>
  <c r="D11" i="3"/>
  <c r="C11" i="3"/>
  <c r="C23" i="3" s="1"/>
  <c r="B11" i="3"/>
  <c r="B23" i="3" s="1"/>
  <c r="L10" i="3"/>
  <c r="L22" i="3" s="1"/>
  <c r="K10" i="3"/>
  <c r="K22" i="3" s="1"/>
  <c r="J10" i="3"/>
  <c r="J22" i="3" s="1"/>
  <c r="I10" i="3"/>
  <c r="I22" i="3" s="1"/>
  <c r="H10" i="3"/>
  <c r="H22" i="3" s="1"/>
  <c r="G10" i="3"/>
  <c r="G22" i="3" s="1"/>
  <c r="F10" i="3"/>
  <c r="F22" i="3" s="1"/>
  <c r="E10" i="3"/>
  <c r="E22" i="3" s="1"/>
  <c r="D10" i="3"/>
  <c r="D10" i="2" s="1"/>
  <c r="C10" i="3"/>
  <c r="B10" i="3"/>
  <c r="B22" i="3" s="1"/>
  <c r="L9" i="3"/>
  <c r="L21" i="3" s="1"/>
  <c r="K9" i="3"/>
  <c r="K21" i="3" s="1"/>
  <c r="J9" i="3"/>
  <c r="J21" i="3" s="1"/>
  <c r="I9" i="3"/>
  <c r="I21" i="3" s="1"/>
  <c r="H9" i="3"/>
  <c r="H21" i="3" s="1"/>
  <c r="G9" i="3"/>
  <c r="G21" i="3" s="1"/>
  <c r="F9" i="3"/>
  <c r="F21" i="3" s="1"/>
  <c r="E9" i="3"/>
  <c r="E21" i="3" s="1"/>
  <c r="D9" i="3"/>
  <c r="D21" i="3" s="1"/>
  <c r="C9" i="3"/>
  <c r="C9" i="2" s="1"/>
  <c r="B9" i="3"/>
  <c r="B34" i="3" s="1"/>
  <c r="L8" i="3"/>
  <c r="L20" i="3" s="1"/>
  <c r="K8" i="3"/>
  <c r="K20" i="3" s="1"/>
  <c r="J8" i="3"/>
  <c r="J20" i="3" s="1"/>
  <c r="I8" i="3"/>
  <c r="I20" i="3" s="1"/>
  <c r="H8" i="3"/>
  <c r="H20" i="3" s="1"/>
  <c r="G8" i="3"/>
  <c r="G20" i="3" s="1"/>
  <c r="F8" i="3"/>
  <c r="F20" i="3" s="1"/>
  <c r="E8" i="3"/>
  <c r="E20" i="3" s="1"/>
  <c r="D8" i="3"/>
  <c r="D20" i="3" s="1"/>
  <c r="C8" i="3"/>
  <c r="C20" i="3" s="1"/>
  <c r="B8" i="3"/>
  <c r="B8" i="2" s="1"/>
  <c r="L7" i="3"/>
  <c r="K7" i="3"/>
  <c r="K19" i="3" s="1"/>
  <c r="J7" i="3"/>
  <c r="J19" i="3" s="1"/>
  <c r="I7" i="3"/>
  <c r="I19" i="3" s="1"/>
  <c r="H7" i="3"/>
  <c r="H19" i="3" s="1"/>
  <c r="G7" i="3"/>
  <c r="G19" i="3" s="1"/>
  <c r="F7" i="3"/>
  <c r="F19" i="3" s="1"/>
  <c r="E7" i="3"/>
  <c r="E19" i="3" s="1"/>
  <c r="D7" i="3"/>
  <c r="D19" i="3" s="1"/>
  <c r="C7" i="3"/>
  <c r="C19" i="3" s="1"/>
  <c r="B7" i="3"/>
  <c r="B19" i="3" s="1"/>
  <c r="L6" i="3"/>
  <c r="L6" i="2" s="1"/>
  <c r="K6" i="3"/>
  <c r="J6" i="3"/>
  <c r="J18" i="3" s="1"/>
  <c r="I6" i="3"/>
  <c r="I18" i="3" s="1"/>
  <c r="H6" i="3"/>
  <c r="H18" i="3" s="1"/>
  <c r="G6" i="3"/>
  <c r="G18" i="3" s="1"/>
  <c r="F6" i="3"/>
  <c r="F18" i="3" s="1"/>
  <c r="E6" i="3"/>
  <c r="E18" i="3" s="1"/>
  <c r="D6" i="3"/>
  <c r="D18" i="3" s="1"/>
  <c r="C6" i="3"/>
  <c r="C18" i="3" s="1"/>
  <c r="B6" i="3"/>
  <c r="B18" i="3" s="1"/>
  <c r="L5" i="3"/>
  <c r="L17" i="3" s="1"/>
  <c r="K5" i="3"/>
  <c r="K5" i="2" s="1"/>
  <c r="J5" i="3"/>
  <c r="I5" i="3"/>
  <c r="I17" i="3" s="1"/>
  <c r="H5" i="3"/>
  <c r="H17" i="3" s="1"/>
  <c r="G5" i="3"/>
  <c r="G17" i="3" s="1"/>
  <c r="F5" i="3"/>
  <c r="F17" i="3" s="1"/>
  <c r="E5" i="3"/>
  <c r="E17" i="3" s="1"/>
  <c r="D5" i="3"/>
  <c r="D17" i="3" s="1"/>
  <c r="C5" i="3"/>
  <c r="C17" i="3" s="1"/>
  <c r="B5" i="3"/>
  <c r="B17" i="3" s="1"/>
  <c r="L4" i="3"/>
  <c r="L16" i="3" s="1"/>
  <c r="K4" i="3"/>
  <c r="K16" i="3" s="1"/>
  <c r="J4" i="3"/>
  <c r="J4" i="2" s="1"/>
  <c r="I4" i="3"/>
  <c r="H4" i="3"/>
  <c r="H16" i="3" s="1"/>
  <c r="G4" i="3"/>
  <c r="G16" i="3" s="1"/>
  <c r="F4" i="3"/>
  <c r="F16" i="3" s="1"/>
  <c r="E4" i="3"/>
  <c r="E16" i="3" s="1"/>
  <c r="D4" i="3"/>
  <c r="D16" i="3" s="1"/>
  <c r="C4" i="3"/>
  <c r="C16" i="3" s="1"/>
  <c r="B4" i="3"/>
  <c r="B29" i="3" s="1"/>
  <c r="L3" i="3"/>
  <c r="L15" i="3" s="1"/>
  <c r="K3" i="3"/>
  <c r="K15" i="3" s="1"/>
  <c r="J3" i="3"/>
  <c r="J15" i="3" s="1"/>
  <c r="I3" i="3"/>
  <c r="I3" i="2" s="1"/>
  <c r="H3" i="3"/>
  <c r="G3" i="3"/>
  <c r="G15" i="3" s="1"/>
  <c r="F3" i="3"/>
  <c r="F15" i="3" s="1"/>
  <c r="E3" i="3"/>
  <c r="E15" i="3" s="1"/>
  <c r="D3" i="3"/>
  <c r="D15" i="3" s="1"/>
  <c r="C3" i="3"/>
  <c r="C15" i="3" s="1"/>
  <c r="B3" i="3"/>
  <c r="B15" i="3" s="1"/>
  <c r="B40" i="3" s="1"/>
  <c r="L2" i="3"/>
  <c r="L14" i="3" s="1"/>
  <c r="K2" i="3"/>
  <c r="K14" i="3" s="1"/>
  <c r="J2" i="3"/>
  <c r="J14" i="3" s="1"/>
  <c r="I2" i="3"/>
  <c r="I14" i="3" s="1"/>
  <c r="H2" i="3"/>
  <c r="H2" i="2" s="1"/>
  <c r="G2" i="3"/>
  <c r="F2" i="3"/>
  <c r="F14" i="3" s="1"/>
  <c r="E2" i="3"/>
  <c r="E14" i="3" s="1"/>
  <c r="D2" i="3"/>
  <c r="D14" i="3" s="1"/>
  <c r="C2" i="3"/>
  <c r="C14" i="3" s="1"/>
  <c r="B2" i="3"/>
  <c r="B14" i="3" s="1"/>
  <c r="B39" i="3" s="1"/>
  <c r="L12" i="2"/>
  <c r="I12" i="2"/>
  <c r="H12" i="2"/>
  <c r="G12" i="2"/>
  <c r="E12" i="2"/>
  <c r="D12" i="2"/>
  <c r="C12" i="2"/>
  <c r="B12" i="2"/>
  <c r="K11" i="2"/>
  <c r="J11" i="2"/>
  <c r="H11" i="2"/>
  <c r="G11" i="2"/>
  <c r="F11" i="2"/>
  <c r="D11" i="2"/>
  <c r="C11" i="2"/>
  <c r="B11" i="2"/>
  <c r="L10" i="2"/>
  <c r="J10" i="2"/>
  <c r="I10" i="2"/>
  <c r="G10" i="2"/>
  <c r="F10" i="2"/>
  <c r="E10" i="2"/>
  <c r="C10" i="2"/>
  <c r="B10" i="2"/>
  <c r="L9" i="2"/>
  <c r="K9" i="2"/>
  <c r="I9" i="2"/>
  <c r="H9" i="2"/>
  <c r="F9" i="2"/>
  <c r="E9" i="2"/>
  <c r="D9" i="2"/>
  <c r="B9" i="2"/>
  <c r="L8" i="2"/>
  <c r="K8" i="2"/>
  <c r="J8" i="2"/>
  <c r="I8" i="2"/>
  <c r="H8" i="2"/>
  <c r="G8" i="2"/>
  <c r="E8" i="2"/>
  <c r="D8" i="2"/>
  <c r="C8" i="2"/>
  <c r="L7" i="2"/>
  <c r="K7" i="2"/>
  <c r="J7" i="2"/>
  <c r="I7" i="2"/>
  <c r="H7" i="2"/>
  <c r="G7" i="2"/>
  <c r="F7" i="2"/>
  <c r="D7" i="2"/>
  <c r="C7" i="2"/>
  <c r="B7" i="2"/>
  <c r="K6" i="2"/>
  <c r="J6" i="2"/>
  <c r="I6" i="2"/>
  <c r="H6" i="2"/>
  <c r="G6" i="2"/>
  <c r="F6" i="2"/>
  <c r="E6" i="2"/>
  <c r="C6" i="2"/>
  <c r="B6" i="2"/>
  <c r="L5" i="2"/>
  <c r="J5" i="2"/>
  <c r="I5" i="2"/>
  <c r="H5" i="2"/>
  <c r="G5" i="2"/>
  <c r="F5" i="2"/>
  <c r="E5" i="2"/>
  <c r="D5" i="2"/>
  <c r="B5" i="2"/>
  <c r="L4" i="2"/>
  <c r="K4" i="2"/>
  <c r="I4" i="2"/>
  <c r="H4" i="2"/>
  <c r="G4" i="2"/>
  <c r="F4" i="2"/>
  <c r="E4" i="2"/>
  <c r="D4" i="2"/>
  <c r="C4" i="2"/>
  <c r="L3" i="2"/>
  <c r="K3" i="2"/>
  <c r="J3" i="2"/>
  <c r="H3" i="2"/>
  <c r="G3" i="2"/>
  <c r="F3" i="2"/>
  <c r="E3" i="2"/>
  <c r="D3" i="2"/>
  <c r="C3" i="2"/>
  <c r="B3" i="2"/>
  <c r="K2" i="2"/>
  <c r="J2" i="2"/>
  <c r="I2" i="2"/>
  <c r="G2" i="2"/>
  <c r="F2" i="2"/>
  <c r="E2" i="2"/>
  <c r="D2" i="2"/>
  <c r="C2" i="2"/>
  <c r="B2" i="2"/>
  <c r="H14" i="3" l="1"/>
  <c r="I15" i="3"/>
  <c r="J16" i="3"/>
  <c r="K17" i="3"/>
  <c r="L18" i="3"/>
  <c r="B20" i="3"/>
  <c r="C21" i="3"/>
  <c r="D22" i="3"/>
  <c r="E23" i="3"/>
  <c r="F24" i="3"/>
  <c r="L2" i="2"/>
  <c r="B4" i="2"/>
  <c r="C5" i="2"/>
  <c r="D6" i="2"/>
  <c r="E7" i="2"/>
  <c r="F8" i="2"/>
  <c r="G9" i="2"/>
  <c r="H10" i="2"/>
  <c r="I11" i="2"/>
  <c r="J12" i="2"/>
  <c r="B33" i="3"/>
  <c r="B16" i="3"/>
  <c r="B41" i="3" s="1"/>
  <c r="B35" i="3"/>
  <c r="J9" i="2"/>
  <c r="K10" i="2"/>
  <c r="L11" i="2"/>
  <c r="K24" i="3"/>
  <c r="B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<sst xmlns="http://schemas.openxmlformats.org/spreadsheetml/2006/main" count="4" uniqueCount="4">
  <si>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Roll 1 Diameter</t>
  </si>
  <si>
    <t>Roll 2 Diameter</t>
  </si>
  <si>
    <t>Combined Diameter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</si>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</sst>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2" fontId="1" fillId="2" borderId="3" xfId="0" applyNumberFormat="1" applyFont="1" applyFill="1" applyBorder="1" applyAlignment="1">
      <alignment vertical="center"/>
    </xf>
    <xf numFmtId="2" fontId="2" fillId="3" borderId="3" xfId="0" applyNumberFormat="1" applyFont="1" applyFill="1" applyBorder="1" applyAlignment="1">
      <alignment vertical="center"/>
    </xf>
    <xf numFmtId="2" fontId="3" fillId="3" borderId="3" xfId="0" applyNumberFormat="1" applyFont="1" applyFill="1" applyBorder="1" applyAlignment="1">
      <alignment horizontal="center" vertical="center"/>
    </xf>
    <xf numFmtId="2" fontId="1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2" sqref="C2"/>
    </sheetView>
  </sheetViews>
  <sheetFormatPr defaultColWidth="11.25" defaultRowHeight="15" customHeight="1" x14ac:dyDescent="0.25"/>
  <cols>
    <col min="1" max="1" width="14.125" customWidth="1"/>
    <col min="2" max="2" width="14.125" bestFit="1" customWidth="1"/>
    <col min="3" max="3" width="19" customWidth="1"/>
    <col min="4" max="4" width="18.125" customWidth="1"/>
    <col min="5" max="26" width="9" customWidth="1"/>
  </cols>
  <sheetData>
    <row r="1" spans="1:3" ht="15.75" customHeight="1" x14ac:dyDescent="0.25">
      <c r="A1" s="5" t="s">
        <v>0</v>
      </c>
      <c r="B1" s="5" t="s">
        <v>1</v>
      </c>
      <c r="C1" s="6" t="s">
        <v>2</v>
      </c>
    </row>
    <row r="2" spans="1:3" ht="15.75" customHeight="1" thickBot="1" x14ac:dyDescent="0.3">
      <c r="A2" s="7">
        <v>8</v>
      </c>
      <c r="B2" s="7">
        <v>8</v>
      </c>
      <c r="C2" s="8" cm="1">
        <f t="array" ref="C2">_xlfn.XLOOKUP(A2, Combined_Diameter_LUT!$B$1:$M$1, _xlfn.XLOOKUP(B2, Combined_Diameter_LUT!$A$2:$A$13, Combined_Diameter_LUT!$B$2:$M$13))</f>
        <v>10.908716985880581</v>
      </c>
    </row>
    <row r="3" spans="1:3" ht="15.75" customHeight="1" thickTop="1" x14ac:dyDescent="0.25"/>
    <row r="4" spans="1:3" ht="15.75" customHeight="1" x14ac:dyDescent="0.25"/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Combined_Diameter_LUT!$B$1:$L$1</xm:f>
          </x14:formula1>
          <xm:sqref>A2</xm:sqref>
        </x14:dataValidation>
        <x14:dataValidation type="list" allowBlank="1" showErrorMessage="1" xr:uid="{00000000-0002-0000-0000-000001000000}">
          <x14:formula1>
            <xm:f>Combined_Diameter_LUT!$A$2:$A$12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E30" sqref="E30"/>
    </sheetView>
  </sheetViews>
  <sheetFormatPr defaultColWidth="11.25" defaultRowHeight="15" customHeight="1" x14ac:dyDescent="0.25"/>
  <cols>
    <col min="1" max="1" width="8.5" customWidth="1"/>
    <col min="2" max="12" width="10.375" customWidth="1"/>
    <col min="13" max="26" width="8.5" customWidth="1"/>
  </cols>
  <sheetData>
    <row r="1" spans="1:12" ht="15.75" customHeight="1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</row>
    <row r="2" spans="1:12" ht="15.75" customHeight="1" x14ac:dyDescent="0.25">
      <c r="A2" s="2">
        <v>5</v>
      </c>
      <c r="B2" s="3">
        <f>SQRT(Raw!B2)*2</f>
        <v>6.403132536348088</v>
      </c>
      <c r="C2" s="3">
        <f>SQRT(Raw!C2)*2</f>
        <v>7.2111099199803839</v>
      </c>
      <c r="D2" s="3">
        <f>SQRT(Raw!D2)*2</f>
        <v>8.0622643393800679</v>
      </c>
      <c r="E2" s="3">
        <f>SQRT(Raw!E2)*2</f>
        <v>8.9442778511202068</v>
      </c>
      <c r="F2" s="3">
        <f>SQRT(Raw!F2)*2</f>
        <v>9.8488631972446203</v>
      </c>
      <c r="G2" s="3">
        <f>SQRT(Raw!G2)*2</f>
        <v>10.770334548101999</v>
      </c>
      <c r="H2" s="3">
        <f>SQRT(Raw!H2)*2</f>
        <v>11.70470445069159</v>
      </c>
      <c r="I2" s="3">
        <f>SQRT(Raw!I2)*2</f>
        <v>12.649114841681197</v>
      </c>
      <c r="J2" s="3">
        <f>SQRT(Raw!J2)*2</f>
        <v>13.601474415593314</v>
      </c>
      <c r="K2" s="3">
        <f>SQRT(Raw!K2)*2</f>
        <v>14.56022342816344</v>
      </c>
      <c r="L2" s="3">
        <f>SQRT(Raw!L2)*2</f>
        <v>15.524178119244816</v>
      </c>
    </row>
    <row r="3" spans="1:12" ht="15.75" customHeight="1" x14ac:dyDescent="0.25">
      <c r="A3" s="2">
        <v>6</v>
      </c>
      <c r="B3" s="3">
        <f>SQRT(Raw!B3)*2</f>
        <v>7.2111099199803839</v>
      </c>
      <c r="C3" s="3">
        <f>SQRT(Raw!C3)*2</f>
        <v>7.937260628078147</v>
      </c>
      <c r="D3" s="3">
        <f>SQRT(Raw!D3)*2</f>
        <v>8.7178039825428222</v>
      </c>
      <c r="E3" s="3">
        <f>SQRT(Raw!E3)*2</f>
        <v>9.5393975846506951</v>
      </c>
      <c r="F3" s="3">
        <f>SQRT(Raw!F3)*2</f>
        <v>10.392309958716565</v>
      </c>
      <c r="G3" s="3">
        <f>SQRT(Raw!G3)*2</f>
        <v>11.269432384909166</v>
      </c>
      <c r="H3" s="3">
        <f>SQRT(Raw!H3)*2</f>
        <v>12.165529428596173</v>
      </c>
      <c r="I3" s="3">
        <f>SQRT(Raw!I3)*2</f>
        <v>13.076700894263794</v>
      </c>
      <c r="J3" s="3">
        <f>SQRT(Raw!J3)*2</f>
        <v>14.000003795643753</v>
      </c>
      <c r="K3" s="3">
        <f>SQRT(Raw!K3)*2</f>
        <v>14.933188081519615</v>
      </c>
      <c r="L3" s="3">
        <f>SQRT(Raw!L3)*2</f>
        <v>15.87451121383079</v>
      </c>
    </row>
    <row r="4" spans="1:12" ht="15.75" customHeight="1" x14ac:dyDescent="0.25">
      <c r="A4" s="2">
        <v>7</v>
      </c>
      <c r="B4" s="3">
        <f>SQRT(Raw!B4)*2</f>
        <v>8.0622643393800679</v>
      </c>
      <c r="C4" s="3">
        <f>SQRT(Raw!C4)*2</f>
        <v>8.7178039825428222</v>
      </c>
      <c r="D4" s="3">
        <f>SQRT(Raw!D4)*2</f>
        <v>9.4339867647797497</v>
      </c>
      <c r="E4" s="3">
        <f>SQRT(Raw!E4)*2</f>
        <v>10.198044237893827</v>
      </c>
      <c r="F4" s="3">
        <f>SQRT(Raw!F4)*2</f>
        <v>11.000004830818916</v>
      </c>
      <c r="G4" s="3">
        <f>SQRT(Raw!G4)*2</f>
        <v>11.832164057265244</v>
      </c>
      <c r="H4" s="3">
        <f>SQRT(Raw!H4)*2</f>
        <v>12.688581728390274</v>
      </c>
      <c r="I4" s="3">
        <f>SQRT(Raw!I4)*2</f>
        <v>13.56466388371048</v>
      </c>
      <c r="J4" s="3">
        <f>SQRT(Raw!J4)*2</f>
        <v>14.456835970503349</v>
      </c>
      <c r="K4" s="3">
        <f>SQRT(Raw!K4)*2</f>
        <v>15.362294954792382</v>
      </c>
      <c r="L4" s="3">
        <f>SQRT(Raw!L4)*2</f>
        <v>16.278823860403413</v>
      </c>
    </row>
    <row r="5" spans="1:12" ht="15.75" customHeight="1" x14ac:dyDescent="0.25">
      <c r="A5" s="2">
        <v>8</v>
      </c>
      <c r="B5" s="3">
        <f>SQRT(Raw!B5)*2</f>
        <v>8.9442778511202068</v>
      </c>
      <c r="C5" s="3">
        <f>SQRT(Raw!C5)*2</f>
        <v>9.5393975846506951</v>
      </c>
      <c r="D5" s="3">
        <f>SQRT(Raw!D5)*2</f>
        <v>10.198044237893827</v>
      </c>
      <c r="E5" s="3">
        <f>SQRT(Raw!E5)*2</f>
        <v>10.908716985880581</v>
      </c>
      <c r="F5" s="3">
        <f>SQRT(Raw!F5)*2</f>
        <v>11.661908346323063</v>
      </c>
      <c r="G5" s="3">
        <f>SQRT(Raw!G5)*2</f>
        <v>12.449903866216781</v>
      </c>
      <c r="H5" s="3">
        <f>SQRT(Raw!H5)*2</f>
        <v>13.266503166925318</v>
      </c>
      <c r="I5" s="3">
        <f>SQRT(Raw!I5)*2</f>
        <v>14.106739746590618</v>
      </c>
      <c r="J5" s="3">
        <f>SQRT(Raw!J5)*2</f>
        <v>14.966633097595448</v>
      </c>
      <c r="K5" s="3">
        <f>SQRT(Raw!K5)*2</f>
        <v>15.842982871859689</v>
      </c>
      <c r="L5" s="3">
        <f>SQRT(Raw!L5)*2</f>
        <v>16.733203706345044</v>
      </c>
    </row>
    <row r="6" spans="1:12" ht="15.75" customHeight="1" x14ac:dyDescent="0.25">
      <c r="A6" s="2">
        <v>9</v>
      </c>
      <c r="B6" s="3">
        <f>SQRT(Raw!B6)*2</f>
        <v>9.8488631972446203</v>
      </c>
      <c r="C6" s="3">
        <f>SQRT(Raw!C6)*2</f>
        <v>10.392309958716565</v>
      </c>
      <c r="D6" s="3">
        <f>SQRT(Raw!D6)*2</f>
        <v>11.000004830818916</v>
      </c>
      <c r="E6" s="3">
        <f>SQRT(Raw!E6)*2</f>
        <v>11.661908346323063</v>
      </c>
      <c r="F6" s="3">
        <f>SQRT(Raw!F6)*2</f>
        <v>12.369321172887357</v>
      </c>
      <c r="G6" s="3">
        <f>SQRT(Raw!G6)*2</f>
        <v>13.114881100415646</v>
      </c>
      <c r="H6" s="3">
        <f>SQRT(Raw!H6)*2</f>
        <v>13.892447814479619</v>
      </c>
      <c r="I6" s="3">
        <f>SQRT(Raw!I6)*2</f>
        <v>14.696942072350952</v>
      </c>
      <c r="J6" s="3">
        <f>SQRT(Raw!J6)*2</f>
        <v>12.369321172887357</v>
      </c>
      <c r="K6" s="3">
        <f>SQRT(Raw!K6)*2</f>
        <v>16.370708789726837</v>
      </c>
      <c r="L6" s="3">
        <f>SQRT(Raw!L6)*2</f>
        <v>17.233691023052476</v>
      </c>
    </row>
    <row r="7" spans="1:12" ht="15.75" customHeight="1" x14ac:dyDescent="0.25">
      <c r="A7" s="2">
        <v>10</v>
      </c>
      <c r="B7" s="3">
        <f>SQRT(Raw!B7)*2</f>
        <v>10.770334548101999</v>
      </c>
      <c r="C7" s="3">
        <f>SQRT(Raw!C7)*2</f>
        <v>11.269432384909166</v>
      </c>
      <c r="D7" s="3">
        <f>SQRT(Raw!D7)*2</f>
        <v>11.832164057265244</v>
      </c>
      <c r="E7" s="3">
        <f>SQRT(Raw!E7)*2</f>
        <v>12.449903866216781</v>
      </c>
      <c r="F7" s="3">
        <f>SQRT(Raw!F7)*2</f>
        <v>13.114881100415646</v>
      </c>
      <c r="G7" s="3">
        <f>SQRT(Raw!G7)*2</f>
        <v>13.820278806089243</v>
      </c>
      <c r="H7" s="3">
        <f>SQRT(Raw!H7)*2</f>
        <v>14.56022342816344</v>
      </c>
      <c r="I7" s="3">
        <f>SQRT(Raw!I7)*2</f>
        <v>15.329713183162935</v>
      </c>
      <c r="J7" s="3">
        <f>SQRT(Raw!J7)*2</f>
        <v>16.124518792138868</v>
      </c>
      <c r="K7" s="3">
        <f>SQRT(Raw!K7)*2</f>
        <v>16.941077482794284</v>
      </c>
      <c r="L7" s="3">
        <f>SQRT(Raw!L7)*2</f>
        <v>17.776391823934336</v>
      </c>
    </row>
    <row r="8" spans="1:12" ht="15.75" customHeight="1" x14ac:dyDescent="0.25">
      <c r="A8" s="2">
        <v>11</v>
      </c>
      <c r="B8" s="3">
        <f>SQRT(Raw!B8)*2</f>
        <v>11.70470445069159</v>
      </c>
      <c r="C8" s="3">
        <f>SQRT(Raw!C8)*2</f>
        <v>12.165529428596173</v>
      </c>
      <c r="D8" s="3">
        <f>SQRT(Raw!D8)*2</f>
        <v>12.688581728390274</v>
      </c>
      <c r="E8" s="3">
        <f>SQRT(Raw!E8)*2</f>
        <v>13.266503166925318</v>
      </c>
      <c r="F8" s="3">
        <f>SQRT(Raw!F8)*2</f>
        <v>13.892447814479619</v>
      </c>
      <c r="G8" s="3">
        <f>SQRT(Raw!G8)*2</f>
        <v>14.56022342816344</v>
      </c>
      <c r="H8" s="3">
        <f>SQRT(Raw!H8)*2</f>
        <v>15.264341003726283</v>
      </c>
      <c r="I8" s="3">
        <f>SQRT(Raw!I8)*2</f>
        <v>16.000003321188387</v>
      </c>
      <c r="J8" s="3">
        <f>SQRT(Raw!J8)*2</f>
        <v>16.124518792138868</v>
      </c>
      <c r="K8" s="3">
        <f>SQRT(Raw!K8)*2</f>
        <v>17.549931802660645</v>
      </c>
      <c r="L8" s="3">
        <f>SQRT(Raw!L8)*2</f>
        <v>18.357562645352445</v>
      </c>
    </row>
    <row r="9" spans="1:12" ht="15.75" customHeight="1" x14ac:dyDescent="0.25">
      <c r="A9" s="2">
        <v>12</v>
      </c>
      <c r="B9" s="3">
        <f>SQRT(Raw!B9)*2</f>
        <v>12.649114841681197</v>
      </c>
      <c r="C9" s="3">
        <f>SQRT(Raw!C9)*2</f>
        <v>13.076700894263794</v>
      </c>
      <c r="D9" s="3">
        <f>SQRT(Raw!D9)*2</f>
        <v>13.56466388371048</v>
      </c>
      <c r="E9" s="3">
        <f>SQRT(Raw!E9)*2</f>
        <v>14.106739746590618</v>
      </c>
      <c r="F9" s="3">
        <f>SQRT(Raw!F9)*2</f>
        <v>14.696942072350952</v>
      </c>
      <c r="G9" s="3">
        <f>SQRT(Raw!G9)*2</f>
        <v>15.329713183162935</v>
      </c>
      <c r="H9" s="3">
        <f>SQRT(Raw!H9)*2</f>
        <v>16.000003321188387</v>
      </c>
      <c r="I9" s="3">
        <f>SQRT(Raw!I9)*2</f>
        <v>16.703296269839658</v>
      </c>
      <c r="J9" s="3">
        <f>SQRT(Raw!J9)*2</f>
        <v>17.435598821894231</v>
      </c>
      <c r="K9" s="3">
        <f>SQRT(Raw!K9)*2</f>
        <v>18.193408319444696</v>
      </c>
      <c r="L9" s="3">
        <f>SQRT(Raw!L9)*2</f>
        <v>18.973668761682323</v>
      </c>
    </row>
    <row r="10" spans="1:12" ht="15.75" customHeight="1" x14ac:dyDescent="0.25">
      <c r="A10" s="2">
        <v>13</v>
      </c>
      <c r="B10" s="3">
        <f>SQRT(Raw!B10)*2</f>
        <v>13.601474415593314</v>
      </c>
      <c r="C10" s="3">
        <f>SQRT(Raw!C10)*2</f>
        <v>14.000003795643753</v>
      </c>
      <c r="D10" s="3">
        <f>SQRT(Raw!D10)*2</f>
        <v>14.456835970503349</v>
      </c>
      <c r="E10" s="3">
        <f>SQRT(Raw!E10)*2</f>
        <v>14.966633097595448</v>
      </c>
      <c r="F10" s="3">
        <f>SQRT(Raw!F10)*2</f>
        <v>15.524178119244816</v>
      </c>
      <c r="G10" s="3">
        <f>SQRT(Raw!G10)*2</f>
        <v>16.124518792138868</v>
      </c>
      <c r="H10" s="3">
        <f>SQRT(Raw!H10)*2</f>
        <v>16.763057784248062</v>
      </c>
      <c r="I10" s="3">
        <f>SQRT(Raw!I10)*2</f>
        <v>17.435598821894231</v>
      </c>
      <c r="J10" s="3">
        <f>SQRT(Raw!J10)*2</f>
        <v>18.138360076865812</v>
      </c>
      <c r="K10" s="3">
        <f>SQRT(Raw!K10)*2</f>
        <v>18.867965080475411</v>
      </c>
      <c r="L10" s="3">
        <f>SQRT(Raw!L10)*2</f>
        <v>19.621419578563618</v>
      </c>
    </row>
    <row r="11" spans="1:12" ht="15.75" customHeight="1" x14ac:dyDescent="0.25">
      <c r="A11" s="2">
        <v>14</v>
      </c>
      <c r="B11" s="3">
        <f>SQRT(Raw!B11)*2</f>
        <v>14.56022342816344</v>
      </c>
      <c r="C11" s="3">
        <f>SQRT(Raw!C11)*2</f>
        <v>14.933188081519615</v>
      </c>
      <c r="D11" s="3">
        <f>SQRT(Raw!D11)*2</f>
        <v>15.362294954792382</v>
      </c>
      <c r="E11" s="3">
        <f>SQRT(Raw!E11)*2</f>
        <v>15.842982871859689</v>
      </c>
      <c r="F11" s="3">
        <f>SQRT(Raw!F11)*2</f>
        <v>16.370708789726837</v>
      </c>
      <c r="G11" s="3">
        <f>SQRT(Raw!G11)*2</f>
        <v>16.941077482794284</v>
      </c>
      <c r="H11" s="3">
        <f>SQRT(Raw!H11)*2</f>
        <v>17.549931802660645</v>
      </c>
      <c r="I11" s="3">
        <f>SQRT(Raw!I11)*2</f>
        <v>18.193408319444696</v>
      </c>
      <c r="J11" s="3">
        <f>SQRT(Raw!J11)*2</f>
        <v>18.867965080475411</v>
      </c>
      <c r="K11" s="3">
        <f>SQRT(Raw!K11)*2</f>
        <v>19.570388506057807</v>
      </c>
      <c r="L11" s="3">
        <f>SQRT(Raw!L11)*2</f>
        <v>20.297785748155871</v>
      </c>
    </row>
    <row r="12" spans="1:12" ht="15.75" customHeight="1" x14ac:dyDescent="0.25">
      <c r="A12" s="2">
        <v>15</v>
      </c>
      <c r="B12" s="3">
        <f>SQRT(Raw!B12)*2</f>
        <v>15.524178119244816</v>
      </c>
      <c r="C12" s="3">
        <f>SQRT(Raw!C12)*2</f>
        <v>15.87451121383079</v>
      </c>
      <c r="D12" s="3">
        <f>SQRT(Raw!D12)*2</f>
        <v>16.278823860403413</v>
      </c>
      <c r="E12" s="3">
        <f>SQRT(Raw!E12)*2</f>
        <v>16.733203706345044</v>
      </c>
      <c r="F12" s="3">
        <f>SQRT(Raw!F12)*2</f>
        <v>17.233691023052476</v>
      </c>
      <c r="G12" s="3">
        <f>SQRT(Raw!G12)*2</f>
        <v>17.776391823934336</v>
      </c>
      <c r="H12" s="3">
        <f>SQRT(Raw!H12)*2</f>
        <v>18.357562645352445</v>
      </c>
      <c r="I12" s="3">
        <f>SQRT(Raw!I12)*2</f>
        <v>18.973668761682323</v>
      </c>
      <c r="J12" s="3">
        <f>SQRT(Raw!J12)*2</f>
        <v>19.621419578563618</v>
      </c>
      <c r="K12" s="3">
        <f>SQRT(Raw!K12)*2</f>
        <v>20.297785748155871</v>
      </c>
      <c r="L12" s="3">
        <f>SQRT(Raw!L12)*2</f>
        <v>21.000002530429359</v>
      </c>
    </row>
    <row r="13" spans="1:12" ht="15.75" customHeight="1" x14ac:dyDescent="0.25"/>
    <row r="14" spans="1:12" ht="15.75" customHeight="1" x14ac:dyDescent="0.25"/>
    <row r="15" spans="1:12" ht="15.75" customHeight="1" x14ac:dyDescent="0.25"/>
    <row r="16" spans="1:1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B27" sqref="B27"/>
    </sheetView>
  </sheetViews>
  <sheetFormatPr defaultColWidth="11.25" defaultRowHeight="15" customHeight="1" x14ac:dyDescent="0.25"/>
  <cols>
    <col min="1" max="1" width="9" customWidth="1"/>
    <col min="2" max="12" width="12.625" customWidth="1"/>
    <col min="13" max="26" width="9" customWidth="1"/>
  </cols>
  <sheetData>
    <row r="1" spans="1:12" ht="15.75" customHeight="1" x14ac:dyDescent="0.25">
      <c r="A1" s="4" t="s">
        <v>3</v>
      </c>
      <c r="B1" s="4">
        <v>5</v>
      </c>
      <c r="C1" s="4">
        <v>6</v>
      </c>
      <c r="D1" s="4">
        <v>7</v>
      </c>
      <c r="E1" s="4">
        <v>8</v>
      </c>
      <c r="F1" s="4">
        <v>9</v>
      </c>
      <c r="G1" s="4">
        <v>10</v>
      </c>
      <c r="H1" s="4">
        <v>11</v>
      </c>
      <c r="I1" s="4">
        <v>12</v>
      </c>
      <c r="J1" s="4">
        <v>13</v>
      </c>
      <c r="K1" s="4">
        <v>14</v>
      </c>
      <c r="L1" s="4">
        <v>15</v>
      </c>
    </row>
    <row r="2" spans="1:12" ht="15.75" customHeight="1" x14ac:dyDescent="0.25">
      <c r="A2" s="4">
        <v>5</v>
      </c>
      <c r="B2" s="4">
        <f>(((SUMSQ(A2/2)*PI()+SUMSQ(B1/2)*PI()-(7.0685))/PI()))</f>
        <v>10.250026569509876</v>
      </c>
      <c r="C2" s="4">
        <f>(((SUMSQ(A2/2)*PI()+SUMSQ(C1/2)*PI()-(7.0685))/PI()))</f>
        <v>13.000026569509876</v>
      </c>
      <c r="D2" s="4">
        <f>(((SUMSQ(A2/2)*PI()+SUMSQ(D1/2)*PI()-(7.0685))/PI()))</f>
        <v>16.250026569509878</v>
      </c>
      <c r="E2" s="4">
        <f>(((SUMSQ(A2/2)*PI()+SUMSQ(E1/2)*PI()-(7.0685))/PI()))</f>
        <v>20.000026569509878</v>
      </c>
      <c r="F2" s="4">
        <f>(((SUMSQ(A2/2)*PI()+SUMSQ(F1/2)*PI()-(7.0685))/PI()))</f>
        <v>24.250026569509878</v>
      </c>
      <c r="G2" s="4">
        <f>(((SUMSQ(A2/2)*PI()+SUMSQ(G1/2)*PI()-(7.0685))/PI()))</f>
        <v>29.000026569509878</v>
      </c>
      <c r="H2" s="4">
        <f>(((SUMSQ(A2/2)*PI()+SUMSQ(H1/2)*PI()-(7.0685))/PI()))</f>
        <v>34.250026569509878</v>
      </c>
      <c r="I2" s="4">
        <f>(((SUMSQ(A2/2)*PI()+SUMSQ(I1/2)*PI()-(7.0685))/PI()))</f>
        <v>40.000026569509878</v>
      </c>
      <c r="J2" s="4">
        <f>(((SUMSQ(A2/2)*PI()+SUMSQ(J1/2)*PI()-(7.0685))/PI()))</f>
        <v>46.25002656950987</v>
      </c>
      <c r="K2" s="4">
        <f>(((SUMSQ(A2/2)*PI()+SUMSQ(K1/2)*PI()-(7.0685))/PI()))</f>
        <v>53.00002656950987</v>
      </c>
      <c r="L2" s="4">
        <f>(((SUMSQ(A2/2)*PI()+SUMSQ(L1/2)*PI()-(7.0685))/PI()))</f>
        <v>60.25002656950987</v>
      </c>
    </row>
    <row r="3" spans="1:12" ht="15.75" customHeight="1" x14ac:dyDescent="0.25">
      <c r="A3" s="4">
        <v>6</v>
      </c>
      <c r="B3" s="4">
        <f>(((SUMSQ(A3/2)*PI()+SUMSQ(B1/2)*PI()-(7.0685))/PI()))</f>
        <v>13.000026569509876</v>
      </c>
      <c r="C3" s="4">
        <f>(((SUMSQ(A3/2)*PI()+SUMSQ(C1/2)*PI()-(7.0685))/PI()))</f>
        <v>15.750026569509876</v>
      </c>
      <c r="D3" s="4">
        <f>(((SUMSQ(A3/2)*PI()+SUMSQ(D1/2)*PI()-(7.0685))/PI()))</f>
        <v>19.000026569509874</v>
      </c>
      <c r="E3" s="4">
        <f>(((SUMSQ(A3/2)*PI()+SUMSQ(E1/2)*PI()-(7.0685))/PI()))</f>
        <v>22.750026569509878</v>
      </c>
      <c r="F3" s="4">
        <f>(((SUMSQ(A3/2)*PI()+SUMSQ(F1/2)*PI()-(7.0685))/PI()))</f>
        <v>27.000026569509874</v>
      </c>
      <c r="G3" s="4">
        <f>(((SUMSQ(A3/2)*PI()+SUMSQ(G1/2)*PI()-(7.0685))/PI()))</f>
        <v>31.750026569509878</v>
      </c>
      <c r="H3" s="4">
        <f>(((SUMSQ(A3/2)*PI()+SUMSQ(H1/2)*PI()-(7.0685))/PI()))</f>
        <v>37.000026569509878</v>
      </c>
      <c r="I3" s="4">
        <f>(((SUMSQ(A3/2)*PI()+SUMSQ(I1/2)*PI()-(7.0685))/PI()))</f>
        <v>42.750026569509878</v>
      </c>
      <c r="J3" s="4">
        <f>(((SUMSQ(A3/2)*PI()+SUMSQ(J1/2)*PI()-(7.0685))/PI()))</f>
        <v>49.00002656950987</v>
      </c>
      <c r="K3" s="4">
        <f>(((SUMSQ(A3/2)*PI()+SUMSQ(K1/2)*PI()-(7.0685))/PI()))</f>
        <v>55.75002656950987</v>
      </c>
      <c r="L3" s="4">
        <f>(((SUMSQ(A3/2)*PI()+SUMSQ(L1/2)*PI()-(7.0685))/PI()))</f>
        <v>63.00002656950987</v>
      </c>
    </row>
    <row r="4" spans="1:12" ht="15.75" customHeight="1" x14ac:dyDescent="0.25">
      <c r="A4" s="4">
        <v>7</v>
      </c>
      <c r="B4" s="4">
        <f>(((SUMSQ(A4/2)*PI()+SUMSQ(B1/2)*PI()-(7.0685))/PI()))</f>
        <v>16.250026569509878</v>
      </c>
      <c r="C4" s="4">
        <f>(((SUMSQ(A4/2)*PI()+SUMSQ(C1/2)*PI()-(7.0685))/PI()))</f>
        <v>19.000026569509874</v>
      </c>
      <c r="D4" s="4">
        <f>(((SUMSQ(A4/2)*PI()+SUMSQ(D1/2)*PI()-(7.0685))/PI()))</f>
        <v>22.250026569509874</v>
      </c>
      <c r="E4" s="4">
        <f>(((SUMSQ(A4/2)*PI()+SUMSQ(E1/2)*PI()-(7.0685))/PI()))</f>
        <v>26.000026569509874</v>
      </c>
      <c r="F4" s="4">
        <f>(((SUMSQ(A4/2)*PI()+SUMSQ(F1/2)*PI()-(7.0685))/PI()))</f>
        <v>30.250026569509874</v>
      </c>
      <c r="G4" s="4">
        <f>(((SUMSQ(A4/2)*PI()+SUMSQ(G1/2)*PI()-(7.0685))/PI()))</f>
        <v>35.000026569509878</v>
      </c>
      <c r="H4" s="4">
        <f>(((SUMSQ(A4/2)*PI()+SUMSQ(H1/2)*PI()-(7.0685))/PI()))</f>
        <v>40.250026569509878</v>
      </c>
      <c r="I4" s="4">
        <f>(((SUMSQ(A4/2)*PI()+SUMSQ(I1/2)*PI()-(7.0685))/PI()))</f>
        <v>46.000026569509878</v>
      </c>
      <c r="J4" s="4">
        <f>(((SUMSQ(A4/2)*PI()+SUMSQ(J1/2)*PI()-(7.0685))/PI()))</f>
        <v>52.25002656950987</v>
      </c>
      <c r="K4" s="4">
        <f>(((SUMSQ(A4/2)*PI()+SUMSQ(K1/2)*PI()-(7.0685))/PI()))</f>
        <v>59.000026569509878</v>
      </c>
      <c r="L4" s="4">
        <f>(((SUMSQ(A4/2)*PI()+SUMSQ(L1/2)*PI()-(7.0685))/PI()))</f>
        <v>66.250026569509885</v>
      </c>
    </row>
    <row r="5" spans="1:12" ht="15.75" customHeight="1" x14ac:dyDescent="0.25">
      <c r="A5" s="4">
        <v>8</v>
      </c>
      <c r="B5" s="4">
        <f>(((SUMSQ(A5/2)*PI()+SUMSQ(B1/2)*PI()-(7.0685))/PI()))</f>
        <v>20.000026569509878</v>
      </c>
      <c r="C5" s="4">
        <f>(((SUMSQ(A5/2)*PI()+SUMSQ(C1/2)*PI()-(7.0685))/PI()))</f>
        <v>22.750026569509878</v>
      </c>
      <c r="D5" s="4">
        <f>(((SUMSQ(A5/2)*PI()+SUMSQ(D1/2)*PI()-(7.0685))/PI()))</f>
        <v>26.000026569509874</v>
      </c>
      <c r="E5" s="4">
        <f>(((SUMSQ(A5/2)*PI()+SUMSQ(E1/2)*PI()-(7.0685))/PI()))</f>
        <v>29.750026569509874</v>
      </c>
      <c r="F5" s="4">
        <f>(((SUMSQ(A5/2)*PI()+SUMSQ(F1/2)*PI()-(7.0685))/PI()))</f>
        <v>34.000026569509878</v>
      </c>
      <c r="G5" s="4">
        <f>(((SUMSQ(A5/2)*PI()+SUMSQ(G1/2)*PI()-(7.0685))/PI()))</f>
        <v>38.750026569509885</v>
      </c>
      <c r="H5" s="4">
        <f>(((SUMSQ(A5/2)*PI()+SUMSQ(H1/2)*PI()-(7.0685))/PI()))</f>
        <v>44.00002656950987</v>
      </c>
      <c r="I5" s="4">
        <f>(((SUMSQ(A5/2)*PI()+SUMSQ(I1/2)*PI()-(7.0685))/PI()))</f>
        <v>49.750026569509878</v>
      </c>
      <c r="J5" s="4">
        <f>(((SUMSQ(A5/2)*PI()+SUMSQ(J1/2)*PI()-(7.0685))/PI()))</f>
        <v>56.000026569509878</v>
      </c>
      <c r="K5" s="4">
        <f>(((SUMSQ(A5/2)*PI()+SUMSQ(K1/2)*PI()-(7.0685))/PI()))</f>
        <v>62.75002656950987</v>
      </c>
      <c r="L5" s="4">
        <f>(((SUMSQ(A5/2)*PI()+SUMSQ(L1/2)*PI()-(7.0685))/PI()))</f>
        <v>70.00002656950987</v>
      </c>
    </row>
    <row r="6" spans="1:12" ht="15.75" customHeight="1" x14ac:dyDescent="0.25">
      <c r="A6" s="4">
        <v>9</v>
      </c>
      <c r="B6" s="4">
        <f>(((SUMSQ(A6/2)*PI()+SUMSQ(B1/2)*PI()-(7.0685))/PI()))</f>
        <v>24.250026569509878</v>
      </c>
      <c r="C6" s="4">
        <f>(((SUMSQ(A6/2)*PI()+SUMSQ(C1/2)*PI()-(7.0685))/PI()))</f>
        <v>27.000026569509874</v>
      </c>
      <c r="D6" s="4">
        <f>(((SUMSQ(A6/2)*PI()+SUMSQ(D1/2)*PI()-(7.0685))/PI()))</f>
        <v>30.250026569509874</v>
      </c>
      <c r="E6" s="4">
        <f>(((SUMSQ(A6/2)*PI()+SUMSQ(E1/2)*PI()-(7.0685))/PI()))</f>
        <v>34.000026569509878</v>
      </c>
      <c r="F6" s="4">
        <f>(((SUMSQ(A6/2)*PI()+SUMSQ(F1/2)*PI()-(7.0685))/PI()))</f>
        <v>38.25002656950987</v>
      </c>
      <c r="G6" s="4">
        <f>(((SUMSQ(A6/2)*PI()+SUMSQ(G1/2)*PI()-(7.0685))/PI()))</f>
        <v>43.000026569509878</v>
      </c>
      <c r="H6" s="4">
        <f>(((SUMSQ(A6/2)*PI()+SUMSQ(H1/2)*PI()-(7.0685))/PI()))</f>
        <v>48.250026569509878</v>
      </c>
      <c r="I6" s="4">
        <f>(((SUMSQ(A6/2)*PI()+SUMSQ(I1/2)*PI()-(7.0685))/PI()))</f>
        <v>54.000026569509878</v>
      </c>
      <c r="J6" s="4">
        <f>(((SUMSQ(A6/2)*PI()+SUMSQ(F1/2)*PI()-(7.0685))/PI()))</f>
        <v>38.25002656950987</v>
      </c>
      <c r="K6" s="4">
        <f>(((SUMSQ(A6/2)*PI()+SUMSQ(K1/2)*PI()-(7.0685))/PI()))</f>
        <v>67.00002656950987</v>
      </c>
      <c r="L6" s="4">
        <f>(((SUMSQ(A6/2)*PI()+SUMSQ(L1/2)*PI()-(7.0685))/PI()))</f>
        <v>74.25002656950987</v>
      </c>
    </row>
    <row r="7" spans="1:12" ht="15.75" customHeight="1" x14ac:dyDescent="0.25">
      <c r="A7" s="4">
        <v>10</v>
      </c>
      <c r="B7" s="4">
        <f>(((SUMSQ(A7/2)*PI()+SUMSQ(B1/2)*PI()-(7.0685))/PI()))</f>
        <v>29.000026569509878</v>
      </c>
      <c r="C7" s="4">
        <f>(((SUMSQ(A7/2)*PI()+SUMSQ(C1/2)*PI()-(7.0685))/PI()))</f>
        <v>31.750026569509878</v>
      </c>
      <c r="D7" s="4">
        <f>(((SUMSQ(A7/2)*PI()+SUMSQ(D1/2)*PI()-(7.0685))/PI()))</f>
        <v>35.000026569509878</v>
      </c>
      <c r="E7" s="4">
        <f>(((SUMSQ(A7/2)*PI()+SUMSQ(E1/2)*PI()-(7.0685))/PI()))</f>
        <v>38.750026569509885</v>
      </c>
      <c r="F7" s="4">
        <f>(((SUMSQ(A7/2)*PI()+SUMSQ(F1/2)*PI()-(7.0685))/PI()))</f>
        <v>43.000026569509878</v>
      </c>
      <c r="G7" s="4">
        <f>(((SUMSQ(A7/2)*PI()+SUMSQ(G1/2)*PI()-(7.0685))/PI()))</f>
        <v>47.750026569509878</v>
      </c>
      <c r="H7" s="4">
        <f>(((SUMSQ(A7/2)*PI()+SUMSQ(H1/2)*PI()-(7.0685))/PI()))</f>
        <v>53.000026569509878</v>
      </c>
      <c r="I7" s="4">
        <f>(((SUMSQ(A7/2)*PI()+SUMSQ(I1/2)*PI()-(7.0685))/PI()))</f>
        <v>58.750026569509878</v>
      </c>
      <c r="J7" s="4">
        <f>(((SUMSQ(A7/2)*PI()+SUMSQ(J1/2)*PI()-(7.0685))/PI()))</f>
        <v>65.00002656950987</v>
      </c>
      <c r="K7" s="4">
        <f>(((SUMSQ(A7/2)*PI()+SUMSQ(K1/2)*PI()-(7.0685))/PI()))</f>
        <v>71.750026569509885</v>
      </c>
      <c r="L7" s="4">
        <f>(((SUMSQ(A7/2)*PI()+SUMSQ(L1/2)*PI()-(7.0685))/PI()))</f>
        <v>79.000026569509885</v>
      </c>
    </row>
    <row r="8" spans="1:12" ht="15.75" customHeight="1" x14ac:dyDescent="0.25">
      <c r="A8" s="4">
        <v>11</v>
      </c>
      <c r="B8" s="4">
        <f>(((SUMSQ(A8/2)*PI()+SUMSQ(B1/2)*PI()-(7.0685))/PI()))</f>
        <v>34.250026569509878</v>
      </c>
      <c r="C8" s="4">
        <f>(((SUMSQ(A8/2)*PI()+SUMSQ(C1/2)*PI()-(7.0685))/PI()))</f>
        <v>37.000026569509878</v>
      </c>
      <c r="D8" s="4">
        <f>(((SUMSQ(A8/2)*PI()+SUMSQ(D1/2)*PI()-(7.0685))/PI()))</f>
        <v>40.250026569509878</v>
      </c>
      <c r="E8" s="4">
        <f>(((SUMSQ(A8/2)*PI()+SUMSQ(E1/2)*PI()-(7.0685))/PI()))</f>
        <v>44.00002656950987</v>
      </c>
      <c r="F8" s="4">
        <f>(((SUMSQ(A8/2)*PI()+SUMSQ(F1/2)*PI()-(7.0685))/PI()))</f>
        <v>48.250026569509878</v>
      </c>
      <c r="G8" s="4">
        <f>(((SUMSQ(A8/2)*PI()+SUMSQ(G1/2)*PI()-(7.0685))/PI()))</f>
        <v>53.000026569509878</v>
      </c>
      <c r="H8" s="4">
        <f>(((SUMSQ(A8/2)*PI()+SUMSQ(H1/2)*PI()-(7.0685))/PI()))</f>
        <v>58.250026569509878</v>
      </c>
      <c r="I8" s="4">
        <f>(((SUMSQ(A8/2)*PI()+SUMSQ(I1/2)*PI()-(7.0685))/PI()))</f>
        <v>64.00002656950987</v>
      </c>
      <c r="J8" s="4">
        <f>(((SUMSQ(A7/2)*PI()+SUMSQ(J1/2)*PI()-(7.0685))/PI()))</f>
        <v>65.00002656950987</v>
      </c>
      <c r="K8" s="4">
        <f>(((SUMSQ(A8/2)*PI()+SUMSQ(K1/2)*PI()-(7.0685))/PI()))</f>
        <v>77.00002656950987</v>
      </c>
      <c r="L8" s="4">
        <f>(((SUMSQ(A8/2)*PI()+SUMSQ(L1/2)*PI()-(7.0685))/PI()))</f>
        <v>84.250026569509856</v>
      </c>
    </row>
    <row r="9" spans="1:12" ht="15.75" customHeight="1" x14ac:dyDescent="0.25">
      <c r="A9" s="4">
        <v>12</v>
      </c>
      <c r="B9" s="4">
        <f>(((SUMSQ(A9/2)*PI()+SUMSQ(B1/2)*PI()-(7.0685))/PI()))</f>
        <v>40.000026569509878</v>
      </c>
      <c r="C9" s="4">
        <f>(((SUMSQ(A9/2)*PI()+SUMSQ(C1/2)*PI()-(7.0685))/PI()))</f>
        <v>42.750026569509878</v>
      </c>
      <c r="D9" s="4">
        <f>(((SUMSQ(A9/2)*PI()+SUMSQ(D1/2)*PI()-(7.0685))/PI()))</f>
        <v>46.000026569509878</v>
      </c>
      <c r="E9" s="4">
        <f>(((SUMSQ(A9/2)*PI()+SUMSQ(E1/2)*PI()-(7.0685))/PI()))</f>
        <v>49.750026569509878</v>
      </c>
      <c r="F9" s="4">
        <f>(((SUMSQ(A9/2)*PI()+SUMSQ(F1/2)*PI()-(7.0685))/PI()))</f>
        <v>54.000026569509878</v>
      </c>
      <c r="G9" s="4">
        <f>(((SUMSQ(A9/2)*PI()+SUMSQ(G1/2)*PI()-(7.0685))/PI()))</f>
        <v>58.750026569509878</v>
      </c>
      <c r="H9" s="4">
        <f>(((SUMSQ(A9/2)*PI()+SUMSQ(H1/2)*PI()-(7.0685))/PI()))</f>
        <v>64.00002656950987</v>
      </c>
      <c r="I9" s="4">
        <f>(((SUMSQ(A9/2)*PI()+SUMSQ(I1/2)*PI()-(7.0685))/PI()))</f>
        <v>69.75002656950987</v>
      </c>
      <c r="J9" s="4">
        <f>(((SUMSQ(A9/2)*PI()+SUMSQ(J1/2)*PI()-(7.0685))/PI()))</f>
        <v>76.00002656950987</v>
      </c>
      <c r="K9" s="4">
        <f>(((SUMSQ(A9/2)*PI()+SUMSQ(K1/2)*PI()-(7.0685))/PI()))</f>
        <v>82.750026569509885</v>
      </c>
      <c r="L9" s="4">
        <f>(((SUMSQ(A9/2)*PI()+SUMSQ(L1/2)*PI()-(7.0685))/PI()))</f>
        <v>90.000026569509885</v>
      </c>
    </row>
    <row r="10" spans="1:12" ht="15.75" customHeight="1" x14ac:dyDescent="0.25">
      <c r="A10" s="4">
        <v>13</v>
      </c>
      <c r="B10" s="4">
        <f>(((SUMSQ(A10/2)*PI()+SUMSQ(B1/2)*PI()-(7.0685))/PI()))</f>
        <v>46.25002656950987</v>
      </c>
      <c r="C10" s="4">
        <f>(((SUMSQ(A10/2)*PI()+SUMSQ(C1/2)*PI()-(7.0685))/PI()))</f>
        <v>49.00002656950987</v>
      </c>
      <c r="D10" s="4">
        <f>(((SUMSQ(A10/2)*PI()+SUMSQ(D1/2)*PI()-(7.0685))/PI()))</f>
        <v>52.25002656950987</v>
      </c>
      <c r="E10" s="4">
        <f>(((SUMSQ(A10/2)*PI()+SUMSQ(E1/2)*PI()-(7.0685))/PI()))</f>
        <v>56.000026569509878</v>
      </c>
      <c r="F10" s="4">
        <f>(((SUMSQ(A10/2)*PI()+SUMSQ(F1/2)*PI()-(7.0685))/PI()))</f>
        <v>60.250026569509878</v>
      </c>
      <c r="G10" s="4">
        <f>(((SUMSQ(A10/2)*PI()+SUMSQ(G1/2)*PI()-(7.0685))/PI()))</f>
        <v>65.00002656950987</v>
      </c>
      <c r="H10" s="4">
        <f>(((SUMSQ(A10/2)*PI()+SUMSQ(H1/2)*PI()-(7.0685))/PI()))</f>
        <v>70.250026569509885</v>
      </c>
      <c r="I10" s="4">
        <f>(((SUMSQ(A10/2)*PI()+SUMSQ(I1/2)*PI()-(7.0685))/PI()))</f>
        <v>76.00002656950987</v>
      </c>
      <c r="J10" s="4">
        <f>(((SUMSQ(A10/2)*PI()+SUMSQ(J1/2)*PI()-(7.0685))/PI()))</f>
        <v>82.25002656950987</v>
      </c>
      <c r="K10" s="4">
        <f>(((SUMSQ(A10/2)*PI()+SUMSQ(K1/2)*PI()-(7.0685))/PI()))</f>
        <v>89.000026569509885</v>
      </c>
      <c r="L10" s="4">
        <f>(((SUMSQ(A10/2)*PI()+SUMSQ(L1/2)*PI()-(7.0685))/PI()))</f>
        <v>96.250026569509899</v>
      </c>
    </row>
    <row r="11" spans="1:12" ht="15.75" customHeight="1" x14ac:dyDescent="0.25">
      <c r="A11" s="4">
        <v>14</v>
      </c>
      <c r="B11" s="4">
        <f>(((SUMSQ(A11/2)*PI()+SUMSQ(B1/2)*PI()-(7.0685))/PI()))</f>
        <v>53.00002656950987</v>
      </c>
      <c r="C11" s="4">
        <f>(((SUMSQ(A11/2)*PI()+SUMSQ(C1/2)*PI()-(7.0685))/PI()))</f>
        <v>55.75002656950987</v>
      </c>
      <c r="D11" s="4">
        <f>(((SUMSQ(A11/2)*PI()+SUMSQ(D1/2)*PI()-(7.0685))/PI()))</f>
        <v>59.000026569509878</v>
      </c>
      <c r="E11" s="4">
        <f>(((SUMSQ(A11/2)*PI()+SUMSQ(E1/2)*PI()-(7.0685))/PI()))</f>
        <v>62.75002656950987</v>
      </c>
      <c r="F11" s="4">
        <f>(((SUMSQ(A11/2)*PI()+SUMSQ(F1/2)*PI()-(7.0685))/PI()))</f>
        <v>67.00002656950987</v>
      </c>
      <c r="G11" s="4">
        <f>(((SUMSQ(A11/2)*PI()+SUMSQ(G1/2)*PI()-(7.0685))/PI()))</f>
        <v>71.750026569509885</v>
      </c>
      <c r="H11" s="4">
        <f>(((SUMSQ(A11/2)*PI()+SUMSQ(H1/2)*PI()-(7.0685))/PI()))</f>
        <v>77.00002656950987</v>
      </c>
      <c r="I11" s="4">
        <f>(((SUMSQ(A11/2)*PI()+SUMSQ(I1/2)*PI()-(7.0685))/PI()))</f>
        <v>82.750026569509885</v>
      </c>
      <c r="J11" s="4">
        <f>(((SUMSQ(A11/2)*PI()+SUMSQ(J1/2)*PI()-(7.0685))/PI()))</f>
        <v>89.000026569509885</v>
      </c>
      <c r="K11" s="4">
        <f>(((SUMSQ(A11/2)*PI()+SUMSQ(K1/2)*PI()-(7.0685))/PI()))</f>
        <v>95.750026569509885</v>
      </c>
      <c r="L11" s="4">
        <f>(((SUMSQ(A11/2)*PI()+SUMSQ(L1/2)*PI()-(7.0685))/PI()))</f>
        <v>103.00002656950988</v>
      </c>
    </row>
    <row r="12" spans="1:12" ht="15.75" customHeight="1" x14ac:dyDescent="0.25">
      <c r="A12" s="4">
        <v>15</v>
      </c>
      <c r="B12" s="4">
        <f>(((SUMSQ(A12/2)*PI()+SUMSQ(B1/2)*PI()-(7.0685))/PI()))</f>
        <v>60.25002656950987</v>
      </c>
      <c r="C12" s="4">
        <f>(((SUMSQ(A12/2)*PI()+SUMSQ(C1/2)*PI()-(7.0685))/PI()))</f>
        <v>63.00002656950987</v>
      </c>
      <c r="D12" s="4">
        <f>(((SUMSQ(A12/2)*PI()+SUMSQ(D1/2)*PI()-(7.0685))/PI()))</f>
        <v>66.250026569509885</v>
      </c>
      <c r="E12" s="4">
        <f>(((SUMSQ(A12/2)*PI()+SUMSQ(E1/2)*PI()-(7.0685))/PI()))</f>
        <v>70.00002656950987</v>
      </c>
      <c r="F12" s="4">
        <f>(((SUMSQ(A12/2)*PI()+SUMSQ(F1/2)*PI()-(7.0685))/PI()))</f>
        <v>74.25002656950987</v>
      </c>
      <c r="G12" s="4">
        <f>(((SUMSQ(A12/2)*PI()+SUMSQ(G1/2)*PI()-(7.0685))/PI()))</f>
        <v>79.000026569509885</v>
      </c>
      <c r="H12" s="4">
        <f>(((SUMSQ(A12/2)*PI()+SUMSQ(H1/2)*PI()-(7.0685))/PI()))</f>
        <v>84.250026569509856</v>
      </c>
      <c r="I12" s="4">
        <f>(((SUMSQ(A12/2)*PI()+SUMSQ(I1/2)*PI()-(7.0685))/PI()))</f>
        <v>90.000026569509885</v>
      </c>
      <c r="J12" s="4">
        <f>(((SUMSQ(A12/2)*PI()+SUMSQ(J1/2)*PI()-(7.0685))/PI()))</f>
        <v>96.250026569509899</v>
      </c>
      <c r="K12" s="4">
        <f>(((SUMSQ(A12/2)*PI()+SUMSQ(K1/2)*PI()-(7.0685))/PI()))</f>
        <v>103.00002656950988</v>
      </c>
      <c r="L12" s="4">
        <f>(((SUMSQ(A12/2)*PI()+SUMSQ(L1/2)*PI()-(7.0685))/PI()))</f>
        <v>110.25002656950988</v>
      </c>
    </row>
    <row r="13" spans="1:12" ht="15.75" customHeight="1" x14ac:dyDescent="0.25"/>
    <row r="14" spans="1:12" ht="15.75" customHeight="1" x14ac:dyDescent="0.25">
      <c r="A14" s="4">
        <v>5</v>
      </c>
      <c r="B14" s="4">
        <f t="shared" ref="B14:L14" si="0">SQRT(B2)*2</f>
        <v>6.403132536348088</v>
      </c>
      <c r="C14" s="4">
        <f t="shared" si="0"/>
        <v>7.2111099199803839</v>
      </c>
      <c r="D14" s="4">
        <f t="shared" si="0"/>
        <v>8.0622643393800679</v>
      </c>
      <c r="E14" s="4">
        <f t="shared" si="0"/>
        <v>8.9442778511202068</v>
      </c>
      <c r="F14" s="4">
        <f t="shared" si="0"/>
        <v>9.8488631972446203</v>
      </c>
      <c r="G14" s="4">
        <f t="shared" si="0"/>
        <v>10.770334548101999</v>
      </c>
      <c r="H14" s="4">
        <f t="shared" si="0"/>
        <v>11.70470445069159</v>
      </c>
      <c r="I14" s="4">
        <f t="shared" si="0"/>
        <v>12.649114841681197</v>
      </c>
      <c r="J14" s="4">
        <f t="shared" si="0"/>
        <v>13.601474415593314</v>
      </c>
      <c r="K14" s="4">
        <f t="shared" si="0"/>
        <v>14.56022342816344</v>
      </c>
      <c r="L14" s="4">
        <f t="shared" si="0"/>
        <v>15.524178119244816</v>
      </c>
    </row>
    <row r="15" spans="1:12" ht="15.75" customHeight="1" x14ac:dyDescent="0.25">
      <c r="A15" s="4">
        <v>6</v>
      </c>
      <c r="B15" s="4">
        <f t="shared" ref="B15:L15" si="1">SQRT(B3)*2</f>
        <v>7.2111099199803839</v>
      </c>
      <c r="C15" s="4">
        <f t="shared" si="1"/>
        <v>7.937260628078147</v>
      </c>
      <c r="D15" s="4">
        <f t="shared" si="1"/>
        <v>8.7178039825428222</v>
      </c>
      <c r="E15" s="4">
        <f t="shared" si="1"/>
        <v>9.5393975846506951</v>
      </c>
      <c r="F15" s="4">
        <f t="shared" si="1"/>
        <v>10.392309958716565</v>
      </c>
      <c r="G15" s="4">
        <f t="shared" si="1"/>
        <v>11.269432384909166</v>
      </c>
      <c r="H15" s="4">
        <f t="shared" si="1"/>
        <v>12.165529428596173</v>
      </c>
      <c r="I15" s="4">
        <f t="shared" si="1"/>
        <v>13.076700894263794</v>
      </c>
      <c r="J15" s="4">
        <f t="shared" si="1"/>
        <v>14.000003795643753</v>
      </c>
      <c r="K15" s="4">
        <f t="shared" si="1"/>
        <v>14.933188081519615</v>
      </c>
      <c r="L15" s="4">
        <f t="shared" si="1"/>
        <v>15.87451121383079</v>
      </c>
    </row>
    <row r="16" spans="1:12" ht="15.75" customHeight="1" x14ac:dyDescent="0.25">
      <c r="A16" s="4">
        <v>7</v>
      </c>
      <c r="B16" s="4">
        <f t="shared" ref="B16:L16" si="2">SQRT(B4)*2</f>
        <v>8.0622643393800679</v>
      </c>
      <c r="C16" s="4">
        <f t="shared" si="2"/>
        <v>8.7178039825428222</v>
      </c>
      <c r="D16" s="4">
        <f t="shared" si="2"/>
        <v>9.4339867647797497</v>
      </c>
      <c r="E16" s="4">
        <f t="shared" si="2"/>
        <v>10.198044237893827</v>
      </c>
      <c r="F16" s="4">
        <f t="shared" si="2"/>
        <v>11.000004830818916</v>
      </c>
      <c r="G16" s="4">
        <f t="shared" si="2"/>
        <v>11.832164057265244</v>
      </c>
      <c r="H16" s="4">
        <f t="shared" si="2"/>
        <v>12.688581728390274</v>
      </c>
      <c r="I16" s="4">
        <f t="shared" si="2"/>
        <v>13.56466388371048</v>
      </c>
      <c r="J16" s="4">
        <f t="shared" si="2"/>
        <v>14.456835970503349</v>
      </c>
      <c r="K16" s="4">
        <f t="shared" si="2"/>
        <v>15.362294954792382</v>
      </c>
      <c r="L16" s="4">
        <f t="shared" si="2"/>
        <v>16.278823860403413</v>
      </c>
    </row>
    <row r="17" spans="1:12" ht="15.75" customHeight="1" x14ac:dyDescent="0.25">
      <c r="A17" s="4">
        <v>8</v>
      </c>
      <c r="B17" s="4">
        <f t="shared" ref="B17:L17" si="3">SQRT(B5)*2</f>
        <v>8.9442778511202068</v>
      </c>
      <c r="C17" s="4">
        <f t="shared" si="3"/>
        <v>9.5393975846506951</v>
      </c>
      <c r="D17" s="4">
        <f t="shared" si="3"/>
        <v>10.198044237893827</v>
      </c>
      <c r="E17" s="4">
        <f t="shared" si="3"/>
        <v>10.908716985880581</v>
      </c>
      <c r="F17" s="4">
        <f t="shared" si="3"/>
        <v>11.661908346323063</v>
      </c>
      <c r="G17" s="4">
        <f t="shared" si="3"/>
        <v>12.449903866216781</v>
      </c>
      <c r="H17" s="4">
        <f t="shared" si="3"/>
        <v>13.266503166925318</v>
      </c>
      <c r="I17" s="4">
        <f t="shared" si="3"/>
        <v>14.106739746590618</v>
      </c>
      <c r="J17" s="4">
        <f t="shared" si="3"/>
        <v>14.966633097595448</v>
      </c>
      <c r="K17" s="4">
        <f t="shared" si="3"/>
        <v>15.842982871859689</v>
      </c>
      <c r="L17" s="4">
        <f t="shared" si="3"/>
        <v>16.733203706345044</v>
      </c>
    </row>
    <row r="18" spans="1:12" ht="15.75" customHeight="1" x14ac:dyDescent="0.25">
      <c r="A18" s="4">
        <v>9</v>
      </c>
      <c r="B18" s="4">
        <f t="shared" ref="B18:L18" si="4">SQRT(B6)*2</f>
        <v>9.8488631972446203</v>
      </c>
      <c r="C18" s="4">
        <f t="shared" si="4"/>
        <v>10.392309958716565</v>
      </c>
      <c r="D18" s="4">
        <f t="shared" si="4"/>
        <v>11.000004830818916</v>
      </c>
      <c r="E18" s="4">
        <f t="shared" si="4"/>
        <v>11.661908346323063</v>
      </c>
      <c r="F18" s="4">
        <f t="shared" si="4"/>
        <v>12.369321172887357</v>
      </c>
      <c r="G18" s="4">
        <f t="shared" si="4"/>
        <v>13.114881100415646</v>
      </c>
      <c r="H18" s="4">
        <f t="shared" si="4"/>
        <v>13.892447814479619</v>
      </c>
      <c r="I18" s="4">
        <f t="shared" si="4"/>
        <v>14.696942072350952</v>
      </c>
      <c r="J18" s="4">
        <f t="shared" si="4"/>
        <v>12.369321172887357</v>
      </c>
      <c r="K18" s="4">
        <f t="shared" si="4"/>
        <v>16.370708789726837</v>
      </c>
      <c r="L18" s="4">
        <f t="shared" si="4"/>
        <v>17.233691023052476</v>
      </c>
    </row>
    <row r="19" spans="1:12" ht="15.75" customHeight="1" x14ac:dyDescent="0.25">
      <c r="A19" s="4">
        <v>10</v>
      </c>
      <c r="B19" s="4">
        <f t="shared" ref="B19:L19" si="5">SQRT(B7)*2</f>
        <v>10.770334548101999</v>
      </c>
      <c r="C19" s="4">
        <f t="shared" si="5"/>
        <v>11.269432384909166</v>
      </c>
      <c r="D19" s="4">
        <f t="shared" si="5"/>
        <v>11.832164057265244</v>
      </c>
      <c r="E19" s="4">
        <f t="shared" si="5"/>
        <v>12.449903866216781</v>
      </c>
      <c r="F19" s="4">
        <f t="shared" si="5"/>
        <v>13.114881100415646</v>
      </c>
      <c r="G19" s="4">
        <f t="shared" si="5"/>
        <v>13.820278806089243</v>
      </c>
      <c r="H19" s="4">
        <f t="shared" si="5"/>
        <v>14.56022342816344</v>
      </c>
      <c r="I19" s="4">
        <f t="shared" si="5"/>
        <v>15.329713183162935</v>
      </c>
      <c r="J19" s="4">
        <f t="shared" si="5"/>
        <v>16.124518792138868</v>
      </c>
      <c r="K19" s="4">
        <f t="shared" si="5"/>
        <v>16.941077482794284</v>
      </c>
      <c r="L19" s="4">
        <f t="shared" si="5"/>
        <v>17.776391823934336</v>
      </c>
    </row>
    <row r="20" spans="1:12" ht="15.75" customHeight="1" x14ac:dyDescent="0.25">
      <c r="A20" s="4">
        <v>11</v>
      </c>
      <c r="B20" s="4">
        <f t="shared" ref="B20:L20" si="6">SQRT(B8)*2</f>
        <v>11.70470445069159</v>
      </c>
      <c r="C20" s="4">
        <f t="shared" si="6"/>
        <v>12.165529428596173</v>
      </c>
      <c r="D20" s="4">
        <f t="shared" si="6"/>
        <v>12.688581728390274</v>
      </c>
      <c r="E20" s="4">
        <f t="shared" si="6"/>
        <v>13.266503166925318</v>
      </c>
      <c r="F20" s="4">
        <f t="shared" si="6"/>
        <v>13.892447814479619</v>
      </c>
      <c r="G20" s="4">
        <f t="shared" si="6"/>
        <v>14.56022342816344</v>
      </c>
      <c r="H20" s="4">
        <f t="shared" si="6"/>
        <v>15.264341003726283</v>
      </c>
      <c r="I20" s="4">
        <f t="shared" si="6"/>
        <v>16.000003321188387</v>
      </c>
      <c r="J20" s="4">
        <f t="shared" si="6"/>
        <v>16.124518792138868</v>
      </c>
      <c r="K20" s="4">
        <f t="shared" si="6"/>
        <v>17.549931802660645</v>
      </c>
      <c r="L20" s="4">
        <f t="shared" si="6"/>
        <v>18.357562645352445</v>
      </c>
    </row>
    <row r="21" spans="1:12" ht="15.75" customHeight="1" x14ac:dyDescent="0.25">
      <c r="A21" s="4">
        <v>12</v>
      </c>
      <c r="B21" s="4">
        <f t="shared" ref="B21:L21" si="7">SQRT(B9)*2</f>
        <v>12.649114841681197</v>
      </c>
      <c r="C21" s="4">
        <f t="shared" si="7"/>
        <v>13.076700894263794</v>
      </c>
      <c r="D21" s="4">
        <f t="shared" si="7"/>
        <v>13.56466388371048</v>
      </c>
      <c r="E21" s="4">
        <f t="shared" si="7"/>
        <v>14.106739746590618</v>
      </c>
      <c r="F21" s="4">
        <f t="shared" si="7"/>
        <v>14.696942072350952</v>
      </c>
      <c r="G21" s="4">
        <f t="shared" si="7"/>
        <v>15.329713183162935</v>
      </c>
      <c r="H21" s="4">
        <f t="shared" si="7"/>
        <v>16.000003321188387</v>
      </c>
      <c r="I21" s="4">
        <f t="shared" si="7"/>
        <v>16.703296269839658</v>
      </c>
      <c r="J21" s="4">
        <f t="shared" si="7"/>
        <v>17.435598821894231</v>
      </c>
      <c r="K21" s="4">
        <f t="shared" si="7"/>
        <v>18.193408319444696</v>
      </c>
      <c r="L21" s="4">
        <f t="shared" si="7"/>
        <v>18.973668761682323</v>
      </c>
    </row>
    <row r="22" spans="1:12" ht="15.75" customHeight="1" x14ac:dyDescent="0.25">
      <c r="A22" s="4">
        <v>13</v>
      </c>
      <c r="B22" s="4">
        <f t="shared" ref="B22:L22" si="8">SQRT(B10)*2</f>
        <v>13.601474415593314</v>
      </c>
      <c r="C22" s="4">
        <f t="shared" si="8"/>
        <v>14.000003795643753</v>
      </c>
      <c r="D22" s="4">
        <f t="shared" si="8"/>
        <v>14.456835970503349</v>
      </c>
      <c r="E22" s="4">
        <f t="shared" si="8"/>
        <v>14.966633097595448</v>
      </c>
      <c r="F22" s="4">
        <f t="shared" si="8"/>
        <v>15.524178119244816</v>
      </c>
      <c r="G22" s="4">
        <f t="shared" si="8"/>
        <v>16.124518792138868</v>
      </c>
      <c r="H22" s="4">
        <f t="shared" si="8"/>
        <v>16.763057784248062</v>
      </c>
      <c r="I22" s="4">
        <f t="shared" si="8"/>
        <v>17.435598821894231</v>
      </c>
      <c r="J22" s="4">
        <f t="shared" si="8"/>
        <v>18.138360076865812</v>
      </c>
      <c r="K22" s="4">
        <f t="shared" si="8"/>
        <v>18.867965080475411</v>
      </c>
      <c r="L22" s="4">
        <f t="shared" si="8"/>
        <v>19.621419578563618</v>
      </c>
    </row>
    <row r="23" spans="1:12" ht="15.75" customHeight="1" x14ac:dyDescent="0.25">
      <c r="A23" s="4">
        <v>14</v>
      </c>
      <c r="B23" s="4">
        <f t="shared" ref="B23:L23" si="9">SQRT(B11)*2</f>
        <v>14.56022342816344</v>
      </c>
      <c r="C23" s="4">
        <f t="shared" si="9"/>
        <v>14.933188081519615</v>
      </c>
      <c r="D23" s="4">
        <f t="shared" si="9"/>
        <v>15.362294954792382</v>
      </c>
      <c r="E23" s="4">
        <f t="shared" si="9"/>
        <v>15.842982871859689</v>
      </c>
      <c r="F23" s="4">
        <f t="shared" si="9"/>
        <v>16.370708789726837</v>
      </c>
      <c r="G23" s="4">
        <f t="shared" si="9"/>
        <v>16.941077482794284</v>
      </c>
      <c r="H23" s="4">
        <f t="shared" si="9"/>
        <v>17.549931802660645</v>
      </c>
      <c r="I23" s="4">
        <f t="shared" si="9"/>
        <v>18.193408319444696</v>
      </c>
      <c r="J23" s="4">
        <f t="shared" si="9"/>
        <v>18.867965080475411</v>
      </c>
      <c r="K23" s="4">
        <f t="shared" si="9"/>
        <v>19.570388506057807</v>
      </c>
      <c r="L23" s="4">
        <f t="shared" si="9"/>
        <v>20.297785748155871</v>
      </c>
    </row>
    <row r="24" spans="1:12" ht="15.75" customHeight="1" x14ac:dyDescent="0.25">
      <c r="A24" s="4">
        <v>15</v>
      </c>
      <c r="B24" s="4">
        <f t="shared" ref="B24:L24" si="10">SQRT(B12)*2</f>
        <v>15.524178119244816</v>
      </c>
      <c r="C24" s="4">
        <f t="shared" si="10"/>
        <v>15.87451121383079</v>
      </c>
      <c r="D24" s="4">
        <f t="shared" si="10"/>
        <v>16.278823860403413</v>
      </c>
      <c r="E24" s="4">
        <f t="shared" si="10"/>
        <v>16.733203706345044</v>
      </c>
      <c r="F24" s="4">
        <f t="shared" si="10"/>
        <v>17.233691023052476</v>
      </c>
      <c r="G24" s="4">
        <f t="shared" si="10"/>
        <v>17.776391823934336</v>
      </c>
      <c r="H24" s="4">
        <f t="shared" si="10"/>
        <v>18.357562645352445</v>
      </c>
      <c r="I24" s="4">
        <f t="shared" si="10"/>
        <v>18.973668761682323</v>
      </c>
      <c r="J24" s="4">
        <f t="shared" si="10"/>
        <v>19.621419578563618</v>
      </c>
      <c r="K24" s="4">
        <f t="shared" si="10"/>
        <v>20.297785748155871</v>
      </c>
      <c r="L24" s="4">
        <f t="shared" si="10"/>
        <v>21.000002530429359</v>
      </c>
    </row>
    <row r="25" spans="1:12" ht="15.75" customHeight="1" x14ac:dyDescent="0.25"/>
    <row r="26" spans="1:12" ht="15.75" customHeight="1" x14ac:dyDescent="0.25">
      <c r="A26" s="4">
        <v>5</v>
      </c>
      <c r="B26" s="4">
        <f>(((SUMSQ(A2/2)*PI()+SUMSQ(B1/2)*PI()-(14.137))/PI()))</f>
        <v>8.0000531390197516</v>
      </c>
    </row>
    <row r="27" spans="1:12" ht="15.75" customHeight="1" x14ac:dyDescent="0.25">
      <c r="A27" s="4">
        <v>6</v>
      </c>
      <c r="B27" s="4">
        <f>(((SUMSQ(A3/2)*PI()+SUMSQ(C1/2)*PI()-(14.137))/PI()))</f>
        <v>13.500053139019752</v>
      </c>
    </row>
    <row r="28" spans="1:12" ht="15.75" customHeight="1" x14ac:dyDescent="0.25">
      <c r="A28" s="4">
        <v>7</v>
      </c>
      <c r="B28" s="4">
        <f>(((SUMSQ(A4/2)*PI()+SUMSQ(D1/2)*PI()-(14.137))/PI()))</f>
        <v>20.000053139019748</v>
      </c>
    </row>
    <row r="29" spans="1:12" ht="15.75" customHeight="1" x14ac:dyDescent="0.25">
      <c r="A29" s="4">
        <v>8</v>
      </c>
      <c r="B29" s="4">
        <f t="shared" ref="B29:B41" si="11">(((SUMSQ(A5/2)*PI()+SUMSQ(B4/2)*PI()-(14.137))/PI()))</f>
        <v>77.515894016463974</v>
      </c>
    </row>
    <row r="30" spans="1:12" ht="15.75" customHeight="1" x14ac:dyDescent="0.25">
      <c r="A30" s="4">
        <v>9</v>
      </c>
      <c r="B30" s="4">
        <f t="shared" si="11"/>
        <v>115.750318834295</v>
      </c>
    </row>
    <row r="31" spans="1:12" ht="15.75" customHeight="1" x14ac:dyDescent="0.25">
      <c r="A31" s="4">
        <v>10</v>
      </c>
      <c r="B31" s="4">
        <f t="shared" si="11"/>
        <v>167.51600029450347</v>
      </c>
    </row>
    <row r="32" spans="1:12" ht="15.75" customHeight="1" x14ac:dyDescent="0.25">
      <c r="A32" s="4">
        <v>11</v>
      </c>
      <c r="B32" s="4">
        <f t="shared" si="11"/>
        <v>236.00043839708948</v>
      </c>
    </row>
    <row r="33" spans="1:2" ht="15.75" customHeight="1" x14ac:dyDescent="0.25">
      <c r="A33" s="4">
        <v>12</v>
      </c>
      <c r="B33" s="4">
        <f t="shared" si="11"/>
        <v>324.76613314205292</v>
      </c>
    </row>
    <row r="34" spans="1:2" ht="15.75" customHeight="1" x14ac:dyDescent="0.25">
      <c r="A34" s="4">
        <v>13</v>
      </c>
      <c r="B34" s="4">
        <f t="shared" si="11"/>
        <v>437.75058452939385</v>
      </c>
    </row>
    <row r="35" spans="1:2" ht="15.75" customHeight="1" x14ac:dyDescent="0.25">
      <c r="A35" s="4">
        <v>14</v>
      </c>
      <c r="B35" s="4">
        <f t="shared" si="11"/>
        <v>579.266292559112</v>
      </c>
    </row>
    <row r="36" spans="1:2" ht="15.75" customHeight="1" x14ac:dyDescent="0.25">
      <c r="A36" s="4">
        <v>15</v>
      </c>
      <c r="B36" s="4">
        <f t="shared" si="11"/>
        <v>754.00075723120767</v>
      </c>
    </row>
    <row r="37" spans="1:2" ht="15.75" customHeight="1" x14ac:dyDescent="0.25">
      <c r="A37" s="4">
        <v>16</v>
      </c>
      <c r="B37" s="4">
        <f t="shared" si="11"/>
        <v>903.01647854568103</v>
      </c>
    </row>
    <row r="38" spans="1:2" ht="15.75" customHeight="1" x14ac:dyDescent="0.25">
      <c r="A38" s="4">
        <v>17</v>
      </c>
      <c r="B38" s="4">
        <f t="shared" si="11"/>
        <v>1.7500531390197513</v>
      </c>
    </row>
    <row r="39" spans="1:2" ht="15.75" customHeight="1" x14ac:dyDescent="0.25">
      <c r="A39" s="4">
        <v>18</v>
      </c>
      <c r="B39" s="4">
        <f t="shared" si="11"/>
        <v>14.750079708529626</v>
      </c>
    </row>
    <row r="40" spans="1:2" ht="15.75" customHeight="1" x14ac:dyDescent="0.25">
      <c r="A40" s="4">
        <v>19</v>
      </c>
      <c r="B40" s="4">
        <f t="shared" si="11"/>
        <v>20.750079708529622</v>
      </c>
    </row>
    <row r="41" spans="1:2" ht="15.75" customHeight="1" x14ac:dyDescent="0.25">
      <c r="A41" s="4">
        <v>20</v>
      </c>
      <c r="B41" s="4">
        <f t="shared" si="11"/>
        <v>27.750079708529633</v>
      </c>
    </row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Splicing</vt:lpstr>
      <vt:lpstr>Combined_Diameter_LUT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Joe Snyder</cp:lastModifiedBy>
  <dcterms:created xsi:type="dcterms:W3CDTF">2017-08-09T15:29:00Z</dcterms:created>
  <dcterms:modified xsi:type="dcterms:W3CDTF">2024-07-21T17:10:51Z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